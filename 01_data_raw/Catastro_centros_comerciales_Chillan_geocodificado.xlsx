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stro" sheetId="1" state="visible" r:id="rId3"/>
    <sheet name="Instrucciones" sheetId="2" state="visible" r:id="rId4"/>
  </sheets>
  <definedNames>
    <definedName function="false" hidden="true" localSheetId="0" name="_xlnm._FilterDatabase" vbProcedure="false">Catastro!$A$4:$M$33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<sst xmlns="http://schemas.openxmlformats.org/spreadsheetml/2006/main" count="280" uniqueCount="164">
  <si>
    <t xml:space="preserve">Catastro de centros comerciales y edificios de oficinas — Chillán</t>
  </si>
  <si>
    <t xml:space="preserve">Capa de oferta / competencia del proyecto semestral. Direcciones y coordenadas extraídas de Google Maps el 09-09-2026 y contrastadas contra OpenStreetMap: en 24 de 25 casos comparables las dos fuentes coinciden dentro de 65 m. Revisa la columna Notas antes de usar la capa. Faltan por completar Tipo, N° de locales y Caso de estudio.</t>
  </si>
  <si>
    <t xml:space="preserve">N°</t>
  </si>
  <si>
    <t xml:space="preserve">Nombre del establecimiento</t>
  </si>
  <si>
    <t xml:space="preserve">Calle</t>
  </si>
  <si>
    <t xml:space="preserve">Número</t>
  </si>
  <si>
    <t xml:space="preserve">Comuna</t>
  </si>
  <si>
    <t xml:space="preserve">Tipo</t>
  </si>
  <si>
    <t xml:space="preserve">N° locales aprox.</t>
  </si>
  <si>
    <t xml:space="preserve">Caso de estudio</t>
  </si>
  <si>
    <t xml:space="preserve">Latitud</t>
  </si>
  <si>
    <t xml:space="preserve">Longitud</t>
  </si>
  <si>
    <t xml:space="preserve">Fuente de la dirección</t>
  </si>
  <si>
    <t xml:space="preserve">Fecha verificación</t>
  </si>
  <si>
    <t xml:space="preserve">Notas</t>
  </si>
  <si>
    <t xml:space="preserve">Galería Diego Portales</t>
  </si>
  <si>
    <t xml:space="preserve">El Roble</t>
  </si>
  <si>
    <t xml:space="preserve">650</t>
  </si>
  <si>
    <t xml:space="preserve">Chillán</t>
  </si>
  <si>
    <t xml:space="preserve">Google Maps</t>
  </si>
  <si>
    <t xml:space="preserve">2026-09-09</t>
  </si>
  <si>
    <t xml:space="preserve">Google y OSM coinciden (27 m).</t>
  </si>
  <si>
    <t xml:space="preserve">Galería Don Ambrosio</t>
  </si>
  <si>
    <t xml:space="preserve">890</t>
  </si>
  <si>
    <t xml:space="preserve">Google resuelve la ambigüedad de los directorios (Maipón 855 vs El Roble 890): la ubica en El Roble 890.</t>
  </si>
  <si>
    <t xml:space="preserve">Galería Tohá</t>
  </si>
  <si>
    <t xml:space="preserve">660</t>
  </si>
  <si>
    <t xml:space="preserve">Google y OSM coinciden (12 m).</t>
  </si>
  <si>
    <t xml:space="preserve">Galería El Roble</t>
  </si>
  <si>
    <t xml:space="preserve">861</t>
  </si>
  <si>
    <t xml:space="preserve">Google y OSM coinciden (11 m).</t>
  </si>
  <si>
    <t xml:space="preserve">Galería Las Araucarias</t>
  </si>
  <si>
    <t xml:space="preserve">Arturo Prat</t>
  </si>
  <si>
    <t xml:space="preserve">850</t>
  </si>
  <si>
    <t xml:space="preserve">Google la ubica en Arturo Prat 850; OSM la mapea como pasaje sin dirección, 65 m al poniente.</t>
  </si>
  <si>
    <t xml:space="preserve">Galería Internacional Juan Chejade</t>
  </si>
  <si>
    <t xml:space="preserve">Maipón</t>
  </si>
  <si>
    <t xml:space="preserve">685</t>
  </si>
  <si>
    <t xml:space="preserve">Google y OSM coinciden (36 m).</t>
  </si>
  <si>
    <t xml:space="preserve">Galería Shopping Center</t>
  </si>
  <si>
    <t xml:space="preserve">Constitución</t>
  </si>
  <si>
    <t xml:space="preserve">664</t>
  </si>
  <si>
    <t xml:space="preserve">OpenStreetMap (Nominatim)</t>
  </si>
  <si>
    <t xml:space="preserve">NO ENCONTRADA en Google (la búsqueda devuelve una lista). Coordenada tomada de OSM. OJO: cae en Constitución 664, la misma dirección del registro 12. Verificar si son el mismo inmueble.</t>
  </si>
  <si>
    <t xml:space="preserve">Galería La Merced</t>
  </si>
  <si>
    <t xml:space="preserve">Isabel Riquelme</t>
  </si>
  <si>
    <t xml:space="preserve">841</t>
  </si>
  <si>
    <t xml:space="preserve">Google y OSM coinciden (15 m).</t>
  </si>
  <si>
    <t xml:space="preserve">El Caracol Centro de Compras</t>
  </si>
  <si>
    <t xml:space="preserve">623</t>
  </si>
  <si>
    <t xml:space="preserve">Google la ubica en El Roble 623; OSM la registra como «Edificio Caracol Primavera», El Roble 655, a 26 m. Confirmar el número.</t>
  </si>
  <si>
    <t xml:space="preserve">Galería Concepción</t>
  </si>
  <si>
    <t xml:space="preserve">550</t>
  </si>
  <si>
    <t xml:space="preserve">Google lo rotula «GALERIA CONCEPCION». DISCREPANCIA GRANDE: Google la ubica en Constitución 550 y OSM en El Roble 634, a 212 m. Es el único caso donde las dos fuentes no coinciden. Verificar en terreno.</t>
  </si>
  <si>
    <t xml:space="preserve">Galería Pacífico</t>
  </si>
  <si>
    <t xml:space="preserve">Sgto. Aldea</t>
  </si>
  <si>
    <t xml:space="preserve">747</t>
  </si>
  <si>
    <t xml:space="preserve">Google la ubica en Sgto. Aldea 747 y OSM en Maipón, a 39 m: probablemente un edificio en esquina con dos accesos.</t>
  </si>
  <si>
    <t xml:space="preserve">Edificio Patio Las Terrazas</t>
  </si>
  <si>
    <t xml:space="preserve">Google lo rotula «Comunidad Edificio Patio las Terrazas». Ver nota del registro 7 (posible duplicado en Constitución 664).</t>
  </si>
  <si>
    <t xml:space="preserve">Patio Urbano Quilamapu</t>
  </si>
  <si>
    <t xml:space="preserve">Flores Millán</t>
  </si>
  <si>
    <t xml:space="preserve">1246</t>
  </si>
  <si>
    <t xml:space="preserve">Google y OSM coinciden (9 m).</t>
  </si>
  <si>
    <t xml:space="preserve">Centro Comercial Don Demetrio</t>
  </si>
  <si>
    <t xml:space="preserve">Camino Colonia Bernardo O'Higgins</t>
  </si>
  <si>
    <t xml:space="preserve">1541</t>
  </si>
  <si>
    <t xml:space="preserve">A 110 m del Vivo Outlet (registro 30) y con numeración municipal contigua. Verificar si son complejos distintos o el mismo.</t>
  </si>
  <si>
    <t xml:space="preserve">Espacio del Real</t>
  </si>
  <si>
    <t xml:space="preserve">Jardín del Este</t>
  </si>
  <si>
    <t xml:space="preserve">53</t>
  </si>
  <si>
    <t xml:space="preserve">Google y OSM coinciden (17 m).</t>
  </si>
  <si>
    <t xml:space="preserve">Patio Alonso de Ercilla</t>
  </si>
  <si>
    <t xml:space="preserve">Camino Las Mariposas</t>
  </si>
  <si>
    <t xml:space="preserve">2780</t>
  </si>
  <si>
    <t xml:space="preserve">Encontrado solo en Google (OSM no lo tiene).</t>
  </si>
  <si>
    <t xml:space="preserve">Strip Center Parque Urbano</t>
  </si>
  <si>
    <t xml:space="preserve">Av. Alonso de Ercilla</t>
  </si>
  <si>
    <t xml:space="preserve">4009</t>
  </si>
  <si>
    <t xml:space="preserve">Google lo rotula «STRIPCENTER PARQUE URBANO». Google entrega la dirección completa: Av. Alonso de Ercilla 4009.</t>
  </si>
  <si>
    <t xml:space="preserve">Espacio Cubo</t>
  </si>
  <si>
    <t xml:space="preserve">2450</t>
  </si>
  <si>
    <t xml:space="preserve">Encontrado solo en Google (OSM no lo tiene). ATENCIÓN: queda a ~1.055 m del borde del área urbana censal, o sea fuera del universo de 2.998 manzanas. Decidir si entra en el conjunto competidor.</t>
  </si>
  <si>
    <t xml:space="preserve">Portal Asturias</t>
  </si>
  <si>
    <t xml:space="preserve">Av. Paul Harris</t>
  </si>
  <si>
    <t xml:space="preserve">1116</t>
  </si>
  <si>
    <t xml:space="preserve">Portal Paul Harris</t>
  </si>
  <si>
    <t xml:space="preserve">790</t>
  </si>
  <si>
    <t xml:space="preserve">Google lo rotula «Casa Chocolate (referencia)». Ubicado a través de la Casa de Chocolate, la referencia que diste. Google y OSM coinciden en 6 m.</t>
  </si>
  <si>
    <t xml:space="preserve">Paseo Los Héroes</t>
  </si>
  <si>
    <t xml:space="preserve">NO ENCONTRADO en ninguna de las dos fuentes. Geocodificar a mano.</t>
  </si>
  <si>
    <t xml:space="preserve">Paseo Arauco</t>
  </si>
  <si>
    <t xml:space="preserve">NO ENCONTRADO en Google. Coordenada de OSM, que lo mapea como vía peatonal «Paseo Arauco», sin dirección.</t>
  </si>
  <si>
    <t xml:space="preserve">Espacio O'Higgins</t>
  </si>
  <si>
    <t xml:space="preserve">Baquedano s/n</t>
  </si>
  <si>
    <t xml:space="preserve">Chillán Viejo</t>
  </si>
  <si>
    <t xml:space="preserve">DUDOSO: Google lo ubica en calle Baquedano, Chillán Viejo, a 330 m del registro 24, pese a que el nombre alude a O'Higgins. Verificar antes de usarlo.</t>
  </si>
  <si>
    <t xml:space="preserve">Centro Comercial Baquedano</t>
  </si>
  <si>
    <t xml:space="preserve">COMUNA CORREGIDA: está en Chillán Viejo. Google y OSM coinciden (26 m).</t>
  </si>
  <si>
    <t xml:space="preserve">Centro Urbano 18S</t>
  </si>
  <si>
    <t xml:space="preserve">Dieciocho de Septiembre</t>
  </si>
  <si>
    <t xml:space="preserve">246</t>
  </si>
  <si>
    <t xml:space="preserve">Google lo rotula «Estacionamiento Centro Urbano 18S». Google resuelve el «Estacionamiento Centro Urbano 18S» en Dieciocho de Septiembre 246. Confirmar si corresponde al strip center que evaluaban.</t>
  </si>
  <si>
    <t xml:space="preserve">Edificio Aranjuez</t>
  </si>
  <si>
    <t xml:space="preserve">Bulnes</t>
  </si>
  <si>
    <t xml:space="preserve">470</t>
  </si>
  <si>
    <t xml:space="preserve">Google y OSM coinciden (16 m).</t>
  </si>
  <si>
    <t xml:space="preserve">Edificio Don Alfonso</t>
  </si>
  <si>
    <t xml:space="preserve">Av. Libertad</t>
  </si>
  <si>
    <t xml:space="preserve">833</t>
  </si>
  <si>
    <t xml:space="preserve">Google lo rotula «Comunidad Edificio Don Alfonso». Google indica Av. Libertad 833 (Centro Médico Don Alfonso); OSM indicaba el 845.</t>
  </si>
  <si>
    <t xml:space="preserve">Espacio Quilamapu</t>
  </si>
  <si>
    <t xml:space="preserve">1118</t>
  </si>
  <si>
    <t xml:space="preserve">Google y OSM coinciden (22 m).</t>
  </si>
  <si>
    <t xml:space="preserve">Edificio Alicura</t>
  </si>
  <si>
    <t xml:space="preserve">835</t>
  </si>
  <si>
    <t xml:space="preserve">Google indica Bulnes 835; OSM indicaba el 847. Coordenadas a 4 m.</t>
  </si>
  <si>
    <t xml:space="preserve">Mall Vivo Chillán</t>
  </si>
  <si>
    <t xml:space="preserve">Av. Vicente Méndez</t>
  </si>
  <si>
    <t xml:space="preserve">1545</t>
  </si>
  <si>
    <t xml:space="preserve">Google lo rotula «Vivo Outlet Chillán». Google lo registra como «Vivo Outlet Chillán», Av. Vicente Méndez 1545. Ver nota del registro 14.</t>
  </si>
  <si>
    <t xml:space="preserve">Mall Arauco Chillán</t>
  </si>
  <si>
    <t xml:space="preserve">770</t>
  </si>
  <si>
    <t xml:space="preserve">Confirmado en El Roble 770 por ambas fuentes (22 m).</t>
  </si>
  <si>
    <t xml:space="preserve">Cómo completar el catastro</t>
  </si>
  <si>
    <t xml:space="preserve">Qué está pre-llenado</t>
  </si>
  <si>
    <t xml:space="preserve">•  Columnas A y B (gris): número correlativo y nombre. Son los 29 establecimientos que levantaste. No los modifiques salvo que detectes un error de nombre.</t>
  </si>
  <si>
    <t xml:space="preserve">Qué debes completar (celdas amarillas)</t>
  </si>
  <si>
    <t xml:space="preserve">•  Calle y Número: dirección exacta. Verifícala tú mismo en Google Maps o en terreno.</t>
  </si>
  <si>
    <t xml:space="preserve">•  Comuna: viene pre-llenada como Chillán. Corrígela si alguno está en Chillán Viejo.</t>
  </si>
  <si>
    <t xml:space="preserve">•  Tipo: Comercio / Oficinas / Mixto. Es la clasificación que define tu conjunto competidor. Un centro de retail no compite con oficinas de servicios profesionales.</t>
  </si>
  <si>
    <t xml:space="preserve">•  N° locales aprox.: es la variable de masa (S_j) del modelo de Huff. Sin ella, Huff se reduce a distancia pura.</t>
  </si>
  <si>
    <t xml:space="preserve">•  Caso de estudio: marca «Sí» SOLO en el Strip Center 18 de Septiembre. Ese registro se excluye del conjunto competidor para que no compita consigo mismo.</t>
  </si>
  <si>
    <t xml:space="preserve">•  Latitud y Longitud: en grados decimales, con signo negativo (Chillán está en el hemisferio sur y al oeste de Greenwich).</t>
  </si>
  <si>
    <t xml:space="preserve">•  Fuente de la dirección: de dónde la sacaste (Google Maps, visita en terreno, sitio web oficial). El curso exige documentar la procedencia de cada dato.</t>
  </si>
  <si>
    <t xml:space="preserve">•  Fecha verificación: cuándo la comprobaste.</t>
  </si>
  <si>
    <t xml:space="preserve">Cómo obtener coordenadas en Google Maps</t>
  </si>
  <si>
    <t xml:space="preserve">•  Busca el lugar, haz clic derecho sobre el punto exacto y selecciona la primera opción del menú: copia las coordenadas al portapapeles.</t>
  </si>
  <si>
    <t xml:space="preserve">•  Pégalas en las columnas I y J. El formato es latitud, longitud (por ejemplo: -36.6066, -72.1034).</t>
  </si>
  <si>
    <t xml:space="preserve">•  Si el buscador no encuentra el establecimiento por nombre, búscalo por la dirección y ubica el punto manualmente sobre el edificio.</t>
  </si>
  <si>
    <t xml:space="preserve">Advertencia sobre direcciones de internet</t>
  </si>
  <si>
    <t xml:space="preserve">•  Al preparar esta planilla se encontraron DOS direcciones distintas para la Galería Don Ambrosio en dos directorios web diferentes (Maipón 855 y El Roble 890).</t>
  </si>
  <si>
    <t xml:space="preserve">•  Los directorios comerciales en línea suelen estar desactualizados o generados automáticamente. Verifica siempre contra Google Maps o terreno.</t>
  </si>
  <si>
    <t xml:space="preserve">•  Con 29 establecimientos, unos pocos mal ubicados desplazan tus cálculos de distancia y pueden cambiar los conglomerados LISA del Avance 2.</t>
  </si>
  <si>
    <t xml:space="preserve">Verificaciones pendientes</t>
  </si>
  <si>
    <t xml:space="preserve">•  Registro 25 (Centro Urbano 18S): confirmar si es el strip center que estás evaluando. Si lo es, marcar «Sí» en Caso de estudio.</t>
  </si>
  <si>
    <t xml:space="preserve">•  Registros 13 y 28 (Patio Urbano Quilamapu y Espacio Quilamapu): confirmado por el estudiante que son establecimientos distintos.</t>
  </si>
  <si>
    <t xml:space="preserve">Ejemplo de fila completada (formato esperado)</t>
  </si>
  <si>
    <t xml:space="preserve">Galería de ejemplo</t>
  </si>
  <si>
    <t xml:space="preserve">Arauco</t>
  </si>
  <si>
    <t xml:space="preserve">Mixto</t>
  </si>
  <si>
    <t xml:space="preserve">No</t>
  </si>
  <si>
    <t xml:space="preserve">2026-08-13</t>
  </si>
  <si>
    <t xml:space="preserve">Dos pisos; oficinas en el segundo nivel</t>
  </si>
  <si>
    <t xml:space="preserve">Las coordenadas del ejemplo son aproximadas al centro de Chillán y sirven solo para mostrar el formato; no corresponden a un establecimiento real.</t>
  </si>
  <si>
    <t xml:space="preserve">Avance del levantamiento</t>
  </si>
  <si>
    <t xml:space="preserve">Total de establecimientos</t>
  </si>
  <si>
    <t xml:space="preserve">Con dirección registrada</t>
  </si>
  <si>
    <t xml:space="preserve">Con coordenadas registradas</t>
  </si>
  <si>
    <t xml:space="preserve">Clasificados como Comercio</t>
  </si>
  <si>
    <t xml:space="preserve">Clasificados como Oficinas</t>
  </si>
  <si>
    <t xml:space="preserve">Clasificados como Mixto</t>
  </si>
  <si>
    <t xml:space="preserve">Marcados como caso de estudio</t>
  </si>
  <si>
    <t xml:space="preserve">Pendientes de dirección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</si>
</sst>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FF9D6"/>
        <bgColor rgb="FFFFFFFF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33C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8" min="7" style="1" width="15"/>
    <col collapsed="false" customWidth="true" hidden="false" outlineLevel="0" max="10" min="9" style="1" width="13"/>
    <col collapsed="false" customWidth="true" hidden="false" outlineLevel="0" max="11" min="11" style="1" width="26"/>
    <col collapsed="false" customWidth="true" hidden="false" outlineLevel="0" max="12" min="12" style="1" width="16"/>
    <col collapsed="false" customWidth="true" hidden="false" outlineLevel="0" max="13" min="13" style="1" width="5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true" outlineLevel="0" collapsed="false">
      <c r="A5" s="5" t="n">
        <v>1</v>
      </c>
      <c r="B5" s="6" t="s">
        <v>15</v>
      </c>
      <c r="C5" s="7" t="s">
        <v>16</v>
      </c>
      <c r="D5" s="7" t="s">
        <v>17</v>
      </c>
      <c r="E5" s="7" t="s">
        <v>18</v>
      </c>
      <c r="F5" s="7"/>
      <c r="G5" s="7"/>
      <c r="H5" s="7"/>
      <c r="I5" s="8" t="n">
        <v>-36.6091266</v>
      </c>
      <c r="J5" s="8" t="n">
        <v>-72.1023096</v>
      </c>
      <c r="K5" s="7" t="s">
        <v>19</v>
      </c>
      <c r="L5" s="7" t="s">
        <v>20</v>
      </c>
      <c r="M5" s="9" t="s">
        <v>21</v>
      </c>
    </row>
    <row r="6" customFormat="false" ht="15" hidden="false" customHeight="true" outlineLevel="0" collapsed="false">
      <c r="A6" s="5" t="n">
        <v>2</v>
      </c>
      <c r="B6" s="6" t="s">
        <v>22</v>
      </c>
      <c r="C6" s="7" t="s">
        <v>16</v>
      </c>
      <c r="D6" s="7" t="s">
        <v>23</v>
      </c>
      <c r="E6" s="7" t="s">
        <v>18</v>
      </c>
      <c r="F6" s="7"/>
      <c r="G6" s="7"/>
      <c r="H6" s="7"/>
      <c r="I6" s="8" t="n">
        <v>-36.6098317</v>
      </c>
      <c r="J6" s="8" t="n">
        <v>-72.0991255</v>
      </c>
      <c r="K6" s="7" t="s">
        <v>19</v>
      </c>
      <c r="L6" s="7" t="s">
        <v>20</v>
      </c>
      <c r="M6" s="9" t="s">
        <v>24</v>
      </c>
    </row>
    <row r="7" customFormat="false" ht="15" hidden="false" customHeight="true" outlineLevel="0" collapsed="false">
      <c r="A7" s="5" t="n">
        <v>3</v>
      </c>
      <c r="B7" s="6" t="s">
        <v>25</v>
      </c>
      <c r="C7" s="7" t="s">
        <v>16</v>
      </c>
      <c r="D7" s="7" t="s">
        <v>26</v>
      </c>
      <c r="E7" s="7" t="s">
        <v>18</v>
      </c>
      <c r="F7" s="7"/>
      <c r="G7" s="7"/>
      <c r="H7" s="7"/>
      <c r="I7" s="8" t="n">
        <v>-36.6090692</v>
      </c>
      <c r="J7" s="8" t="n">
        <v>-72.1023933</v>
      </c>
      <c r="K7" s="7" t="s">
        <v>19</v>
      </c>
      <c r="L7" s="7" t="s">
        <v>20</v>
      </c>
      <c r="M7" s="9" t="s">
        <v>27</v>
      </c>
    </row>
    <row r="8" customFormat="false" ht="15" hidden="false" customHeight="true" outlineLevel="0" collapsed="false">
      <c r="A8" s="5" t="n">
        <v>4</v>
      </c>
      <c r="B8" s="6" t="s">
        <v>28</v>
      </c>
      <c r="C8" s="7" t="s">
        <v>16</v>
      </c>
      <c r="D8" s="7" t="s">
        <v>29</v>
      </c>
      <c r="E8" s="7" t="s">
        <v>18</v>
      </c>
      <c r="F8" s="7"/>
      <c r="G8" s="7"/>
      <c r="H8" s="7"/>
      <c r="I8" s="8" t="n">
        <v>-36.6096139</v>
      </c>
      <c r="J8" s="8" t="n">
        <v>-72.0993001</v>
      </c>
      <c r="K8" s="7" t="s">
        <v>19</v>
      </c>
      <c r="L8" s="7" t="s">
        <v>20</v>
      </c>
      <c r="M8" s="9" t="s">
        <v>30</v>
      </c>
    </row>
    <row r="9" customFormat="false" ht="15" hidden="false" customHeight="true" outlineLevel="0" collapsed="false">
      <c r="A9" s="5" t="n">
        <v>5</v>
      </c>
      <c r="B9" s="6" t="s">
        <v>31</v>
      </c>
      <c r="C9" s="7" t="s">
        <v>32</v>
      </c>
      <c r="D9" s="7" t="s">
        <v>33</v>
      </c>
      <c r="E9" s="7" t="s">
        <v>18</v>
      </c>
      <c r="F9" s="7"/>
      <c r="G9" s="7"/>
      <c r="H9" s="7"/>
      <c r="I9" s="8" t="n">
        <v>-36.6122106</v>
      </c>
      <c r="J9" s="8" t="n">
        <v>-72.1004918</v>
      </c>
      <c r="K9" s="7" t="s">
        <v>19</v>
      </c>
      <c r="L9" s="7" t="s">
        <v>20</v>
      </c>
      <c r="M9" s="9" t="s">
        <v>34</v>
      </c>
    </row>
    <row r="10" customFormat="false" ht="15" hidden="false" customHeight="true" outlineLevel="0" collapsed="false">
      <c r="A10" s="5" t="n">
        <v>6</v>
      </c>
      <c r="B10" s="6" t="s">
        <v>35</v>
      </c>
      <c r="C10" s="7" t="s">
        <v>36</v>
      </c>
      <c r="D10" s="7" t="s">
        <v>37</v>
      </c>
      <c r="E10" s="7" t="s">
        <v>18</v>
      </c>
      <c r="F10" s="7"/>
      <c r="G10" s="7"/>
      <c r="H10" s="7"/>
      <c r="I10" s="8" t="n">
        <v>-36.6102179</v>
      </c>
      <c r="J10" s="8" t="n">
        <v>-72.1022329</v>
      </c>
      <c r="K10" s="7" t="s">
        <v>19</v>
      </c>
      <c r="L10" s="7" t="s">
        <v>20</v>
      </c>
      <c r="M10" s="9" t="s">
        <v>38</v>
      </c>
    </row>
    <row r="11" customFormat="false" ht="15" hidden="false" customHeight="true" outlineLevel="0" collapsed="false">
      <c r="A11" s="5" t="n">
        <v>7</v>
      </c>
      <c r="B11" s="6" t="s">
        <v>39</v>
      </c>
      <c r="C11" s="7" t="s">
        <v>40</v>
      </c>
      <c r="D11" s="7" t="s">
        <v>41</v>
      </c>
      <c r="E11" s="7" t="s">
        <v>18</v>
      </c>
      <c r="F11" s="7"/>
      <c r="G11" s="7"/>
      <c r="H11" s="7"/>
      <c r="I11" s="8" t="n">
        <v>-36.6080815</v>
      </c>
      <c r="J11" s="8" t="n">
        <v>-72.101631</v>
      </c>
      <c r="K11" s="7" t="s">
        <v>42</v>
      </c>
      <c r="L11" s="7" t="s">
        <v>20</v>
      </c>
      <c r="M11" s="9" t="s">
        <v>43</v>
      </c>
    </row>
    <row r="12" customFormat="false" ht="15" hidden="false" customHeight="true" outlineLevel="0" collapsed="false">
      <c r="A12" s="5" t="n">
        <v>8</v>
      </c>
      <c r="B12" s="6" t="s">
        <v>44</v>
      </c>
      <c r="C12" s="7" t="s">
        <v>45</v>
      </c>
      <c r="D12" s="7" t="s">
        <v>46</v>
      </c>
      <c r="E12" s="7" t="s">
        <v>18</v>
      </c>
      <c r="F12" s="7"/>
      <c r="G12" s="7"/>
      <c r="H12" s="7"/>
      <c r="I12" s="8" t="n">
        <v>-36.6109954</v>
      </c>
      <c r="J12" s="8" t="n">
        <v>-72.1006543</v>
      </c>
      <c r="K12" s="7" t="s">
        <v>19</v>
      </c>
      <c r="L12" s="7" t="s">
        <v>20</v>
      </c>
      <c r="M12" s="9" t="s">
        <v>47</v>
      </c>
    </row>
    <row r="13" customFormat="false" ht="15" hidden="false" customHeight="true" outlineLevel="0" collapsed="false">
      <c r="A13" s="5" t="n">
        <v>9</v>
      </c>
      <c r="B13" s="6" t="s">
        <v>48</v>
      </c>
      <c r="C13" s="7" t="s">
        <v>16</v>
      </c>
      <c r="D13" s="7" t="s">
        <v>49</v>
      </c>
      <c r="E13" s="7" t="s">
        <v>18</v>
      </c>
      <c r="F13" s="7"/>
      <c r="G13" s="7"/>
      <c r="H13" s="7"/>
      <c r="I13" s="8" t="n">
        <v>-36.6088319</v>
      </c>
      <c r="J13" s="8" t="n">
        <v>-72.1023444</v>
      </c>
      <c r="K13" s="7" t="s">
        <v>19</v>
      </c>
      <c r="L13" s="7" t="s">
        <v>20</v>
      </c>
      <c r="M13" s="9" t="s">
        <v>50</v>
      </c>
    </row>
    <row r="14" customFormat="false" ht="15" hidden="false" customHeight="true" outlineLevel="0" collapsed="false">
      <c r="A14" s="5" t="n">
        <v>10</v>
      </c>
      <c r="B14" s="6" t="s">
        <v>51</v>
      </c>
      <c r="C14" s="7" t="s">
        <v>40</v>
      </c>
      <c r="D14" s="7" t="s">
        <v>52</v>
      </c>
      <c r="E14" s="7" t="s">
        <v>18</v>
      </c>
      <c r="F14" s="7"/>
      <c r="G14" s="7"/>
      <c r="H14" s="7"/>
      <c r="I14" s="8" t="n">
        <v>-36.6073703</v>
      </c>
      <c r="J14" s="8" t="n">
        <v>-72.1037262</v>
      </c>
      <c r="K14" s="7" t="s">
        <v>19</v>
      </c>
      <c r="L14" s="7" t="s">
        <v>20</v>
      </c>
      <c r="M14" s="9" t="s">
        <v>53</v>
      </c>
    </row>
    <row r="15" customFormat="false" ht="15" hidden="false" customHeight="true" outlineLevel="0" collapsed="false">
      <c r="A15" s="5" t="n">
        <v>11</v>
      </c>
      <c r="B15" s="6" t="s">
        <v>54</v>
      </c>
      <c r="C15" s="7" t="s">
        <v>55</v>
      </c>
      <c r="D15" s="7" t="s">
        <v>56</v>
      </c>
      <c r="E15" s="7" t="s">
        <v>18</v>
      </c>
      <c r="F15" s="7"/>
      <c r="G15" s="7"/>
      <c r="H15" s="7"/>
      <c r="I15" s="8" t="n">
        <v>-36.6104819</v>
      </c>
      <c r="J15" s="8" t="n">
        <v>-72.0986657</v>
      </c>
      <c r="K15" s="7" t="s">
        <v>19</v>
      </c>
      <c r="L15" s="7" t="s">
        <v>20</v>
      </c>
      <c r="M15" s="9" t="s">
        <v>57</v>
      </c>
    </row>
    <row r="16" customFormat="false" ht="15" hidden="false" customHeight="true" outlineLevel="0" collapsed="false">
      <c r="A16" s="5" t="n">
        <v>12</v>
      </c>
      <c r="B16" s="6" t="s">
        <v>58</v>
      </c>
      <c r="C16" s="7" t="s">
        <v>40</v>
      </c>
      <c r="D16" s="7" t="s">
        <v>41</v>
      </c>
      <c r="E16" s="7" t="s">
        <v>18</v>
      </c>
      <c r="F16" s="7"/>
      <c r="G16" s="7"/>
      <c r="H16" s="7"/>
      <c r="I16" s="8" t="n">
        <v>-36.6077951</v>
      </c>
      <c r="J16" s="8" t="n">
        <v>-72.1018774</v>
      </c>
      <c r="K16" s="7" t="s">
        <v>19</v>
      </c>
      <c r="L16" s="7" t="s">
        <v>20</v>
      </c>
      <c r="M16" s="9" t="s">
        <v>59</v>
      </c>
    </row>
    <row r="17" customFormat="false" ht="15" hidden="false" customHeight="true" outlineLevel="0" collapsed="false">
      <c r="A17" s="5" t="n">
        <v>13</v>
      </c>
      <c r="B17" s="6" t="s">
        <v>60</v>
      </c>
      <c r="C17" s="7" t="s">
        <v>61</v>
      </c>
      <c r="D17" s="7" t="s">
        <v>62</v>
      </c>
      <c r="E17" s="7" t="s">
        <v>18</v>
      </c>
      <c r="F17" s="7"/>
      <c r="G17" s="7"/>
      <c r="H17" s="7"/>
      <c r="I17" s="8" t="n">
        <v>-36.5888156</v>
      </c>
      <c r="J17" s="8" t="n">
        <v>-72.0855964</v>
      </c>
      <c r="K17" s="7" t="s">
        <v>19</v>
      </c>
      <c r="L17" s="7" t="s">
        <v>20</v>
      </c>
      <c r="M17" s="9" t="s">
        <v>63</v>
      </c>
    </row>
    <row r="18" customFormat="false" ht="15" hidden="false" customHeight="true" outlineLevel="0" collapsed="false">
      <c r="A18" s="5" t="n">
        <v>14</v>
      </c>
      <c r="B18" s="6" t="s">
        <v>64</v>
      </c>
      <c r="C18" s="7" t="s">
        <v>65</v>
      </c>
      <c r="D18" s="7" t="s">
        <v>66</v>
      </c>
      <c r="E18" s="7" t="s">
        <v>18</v>
      </c>
      <c r="F18" s="7"/>
      <c r="G18" s="7"/>
      <c r="H18" s="7"/>
      <c r="I18" s="8" t="n">
        <v>-36.5873006</v>
      </c>
      <c r="J18" s="8" t="n">
        <v>-72.0761789</v>
      </c>
      <c r="K18" s="7" t="s">
        <v>19</v>
      </c>
      <c r="L18" s="7" t="s">
        <v>20</v>
      </c>
      <c r="M18" s="9" t="s">
        <v>67</v>
      </c>
    </row>
    <row r="19" customFormat="false" ht="15" hidden="false" customHeight="true" outlineLevel="0" collapsed="false">
      <c r="A19" s="5" t="n">
        <v>15</v>
      </c>
      <c r="B19" s="6" t="s">
        <v>68</v>
      </c>
      <c r="C19" s="7" t="s">
        <v>69</v>
      </c>
      <c r="D19" s="7" t="s">
        <v>70</v>
      </c>
      <c r="E19" s="7" t="s">
        <v>18</v>
      </c>
      <c r="F19" s="7"/>
      <c r="G19" s="7"/>
      <c r="H19" s="7"/>
      <c r="I19" s="8" t="n">
        <v>-36.5888217</v>
      </c>
      <c r="J19" s="8" t="n">
        <v>-72.0602872</v>
      </c>
      <c r="K19" s="7" t="s">
        <v>19</v>
      </c>
      <c r="L19" s="7" t="s">
        <v>20</v>
      </c>
      <c r="M19" s="9" t="s">
        <v>71</v>
      </c>
    </row>
    <row r="20" customFormat="false" ht="15" hidden="false" customHeight="true" outlineLevel="0" collapsed="false">
      <c r="A20" s="5" t="n">
        <v>16</v>
      </c>
      <c r="B20" s="6" t="s">
        <v>72</v>
      </c>
      <c r="C20" s="7" t="s">
        <v>73</v>
      </c>
      <c r="D20" s="7" t="s">
        <v>74</v>
      </c>
      <c r="E20" s="7" t="s">
        <v>18</v>
      </c>
      <c r="F20" s="7"/>
      <c r="G20" s="7"/>
      <c r="H20" s="7"/>
      <c r="I20" s="8" t="n">
        <v>-36.625921</v>
      </c>
      <c r="J20" s="8" t="n">
        <v>-72.0787997</v>
      </c>
      <c r="K20" s="7" t="s">
        <v>19</v>
      </c>
      <c r="L20" s="7" t="s">
        <v>20</v>
      </c>
      <c r="M20" s="9" t="s">
        <v>75</v>
      </c>
    </row>
    <row r="21" customFormat="false" ht="15" hidden="false" customHeight="true" outlineLevel="0" collapsed="false">
      <c r="A21" s="5" t="n">
        <v>17</v>
      </c>
      <c r="B21" s="6" t="s">
        <v>76</v>
      </c>
      <c r="C21" s="7" t="s">
        <v>77</v>
      </c>
      <c r="D21" s="7" t="s">
        <v>78</v>
      </c>
      <c r="E21" s="7" t="s">
        <v>18</v>
      </c>
      <c r="F21" s="7"/>
      <c r="G21" s="7"/>
      <c r="H21" s="7"/>
      <c r="I21" s="8" t="n">
        <v>-36.6269944</v>
      </c>
      <c r="J21" s="8" t="n">
        <v>-72.0622305</v>
      </c>
      <c r="K21" s="7" t="s">
        <v>19</v>
      </c>
      <c r="L21" s="7" t="s">
        <v>20</v>
      </c>
      <c r="M21" s="9" t="s">
        <v>79</v>
      </c>
    </row>
    <row r="22" customFormat="false" ht="15" hidden="false" customHeight="true" outlineLevel="0" collapsed="false">
      <c r="A22" s="5" t="n">
        <v>18</v>
      </c>
      <c r="B22" s="6" t="s">
        <v>80</v>
      </c>
      <c r="C22" s="7" t="s">
        <v>65</v>
      </c>
      <c r="D22" s="7" t="s">
        <v>81</v>
      </c>
      <c r="E22" s="7" t="s">
        <v>18</v>
      </c>
      <c r="F22" s="7"/>
      <c r="G22" s="7"/>
      <c r="H22" s="7"/>
      <c r="I22" s="8" t="n">
        <v>-36.5784612</v>
      </c>
      <c r="J22" s="8" t="n">
        <v>-72.0518277</v>
      </c>
      <c r="K22" s="7" t="s">
        <v>19</v>
      </c>
      <c r="L22" s="7" t="s">
        <v>20</v>
      </c>
      <c r="M22" s="9" t="s">
        <v>82</v>
      </c>
    </row>
    <row r="23" customFormat="false" ht="15" hidden="false" customHeight="true" outlineLevel="0" collapsed="false">
      <c r="A23" s="5" t="n">
        <v>19</v>
      </c>
      <c r="B23" s="6" t="s">
        <v>83</v>
      </c>
      <c r="C23" s="7" t="s">
        <v>84</v>
      </c>
      <c r="D23" s="7" t="s">
        <v>85</v>
      </c>
      <c r="E23" s="7" t="s">
        <v>18</v>
      </c>
      <c r="F23" s="7"/>
      <c r="G23" s="7"/>
      <c r="H23" s="7"/>
      <c r="I23" s="8" t="n">
        <v>-36.591155</v>
      </c>
      <c r="J23" s="8" t="n">
        <v>-72.0859281</v>
      </c>
      <c r="K23" s="7" t="s">
        <v>19</v>
      </c>
      <c r="L23" s="7" t="s">
        <v>20</v>
      </c>
      <c r="M23" s="9" t="s">
        <v>63</v>
      </c>
    </row>
    <row r="24" customFormat="false" ht="15" hidden="false" customHeight="true" outlineLevel="0" collapsed="false">
      <c r="A24" s="5" t="n">
        <v>20</v>
      </c>
      <c r="B24" s="6" t="s">
        <v>86</v>
      </c>
      <c r="C24" s="7" t="s">
        <v>84</v>
      </c>
      <c r="D24" s="7" t="s">
        <v>87</v>
      </c>
      <c r="E24" s="7" t="s">
        <v>18</v>
      </c>
      <c r="F24" s="7"/>
      <c r="G24" s="7"/>
      <c r="H24" s="7"/>
      <c r="I24" s="8" t="n">
        <v>-36.5889425</v>
      </c>
      <c r="J24" s="8" t="n">
        <v>-72.0918008</v>
      </c>
      <c r="K24" s="7" t="s">
        <v>19</v>
      </c>
      <c r="L24" s="7" t="s">
        <v>20</v>
      </c>
      <c r="M24" s="10" t="s">
        <v>88</v>
      </c>
    </row>
    <row r="25" customFormat="false" ht="15" hidden="false" customHeight="true" outlineLevel="0" collapsed="false">
      <c r="A25" s="5" t="n">
        <v>21</v>
      </c>
      <c r="B25" s="6" t="s">
        <v>89</v>
      </c>
      <c r="C25" s="7"/>
      <c r="D25" s="7"/>
      <c r="E25" s="7" t="s">
        <v>18</v>
      </c>
      <c r="F25" s="7"/>
      <c r="G25" s="7"/>
      <c r="H25" s="7"/>
      <c r="I25" s="7"/>
      <c r="J25" s="7"/>
      <c r="K25" s="7"/>
      <c r="L25" s="7"/>
      <c r="M25" s="9" t="s">
        <v>90</v>
      </c>
    </row>
    <row r="26" customFormat="false" ht="15" hidden="false" customHeight="true" outlineLevel="0" collapsed="false">
      <c r="A26" s="5" t="n">
        <v>22</v>
      </c>
      <c r="B26" s="6" t="s">
        <v>91</v>
      </c>
      <c r="C26" s="7"/>
      <c r="D26" s="7"/>
      <c r="E26" s="7" t="s">
        <v>18</v>
      </c>
      <c r="F26" s="7"/>
      <c r="G26" s="7"/>
      <c r="H26" s="7"/>
      <c r="I26" s="8" t="n">
        <v>-36.6086631</v>
      </c>
      <c r="J26" s="8" t="n">
        <v>-72.1037151</v>
      </c>
      <c r="K26" s="7" t="s">
        <v>42</v>
      </c>
      <c r="L26" s="7" t="s">
        <v>20</v>
      </c>
      <c r="M26" s="9" t="s">
        <v>92</v>
      </c>
    </row>
    <row r="27" customFormat="false" ht="15" hidden="false" customHeight="true" outlineLevel="0" collapsed="false">
      <c r="A27" s="5" t="n">
        <v>23</v>
      </c>
      <c r="B27" s="6" t="s">
        <v>93</v>
      </c>
      <c r="C27" s="7" t="s">
        <v>94</v>
      </c>
      <c r="D27" s="7"/>
      <c r="E27" s="7" t="s">
        <v>95</v>
      </c>
      <c r="F27" s="7"/>
      <c r="G27" s="7"/>
      <c r="H27" s="7"/>
      <c r="I27" s="8" t="n">
        <v>-36.6232249</v>
      </c>
      <c r="J27" s="8" t="n">
        <v>-72.1235279</v>
      </c>
      <c r="K27" s="7" t="s">
        <v>19</v>
      </c>
      <c r="L27" s="7" t="s">
        <v>20</v>
      </c>
      <c r="M27" s="9" t="s">
        <v>96</v>
      </c>
    </row>
    <row r="28" customFormat="false" ht="15" hidden="false" customHeight="true" outlineLevel="0" collapsed="false">
      <c r="A28" s="5" t="n">
        <v>24</v>
      </c>
      <c r="B28" s="6" t="s">
        <v>97</v>
      </c>
      <c r="C28" s="7" t="s">
        <v>94</v>
      </c>
      <c r="D28" s="7"/>
      <c r="E28" s="7" t="s">
        <v>95</v>
      </c>
      <c r="F28" s="7"/>
      <c r="G28" s="7"/>
      <c r="H28" s="7"/>
      <c r="I28" s="8" t="n">
        <v>-36.6261265</v>
      </c>
      <c r="J28" s="8" t="n">
        <v>-72.123797</v>
      </c>
      <c r="K28" s="7" t="s">
        <v>19</v>
      </c>
      <c r="L28" s="7" t="s">
        <v>20</v>
      </c>
      <c r="M28" s="9" t="s">
        <v>98</v>
      </c>
    </row>
    <row r="29" customFormat="false" ht="32.25" hidden="false" customHeight="true" outlineLevel="0" collapsed="false">
      <c r="A29" s="5" t="n">
        <v>25</v>
      </c>
      <c r="B29" s="6" t="s">
        <v>99</v>
      </c>
      <c r="C29" s="7" t="s">
        <v>100</v>
      </c>
      <c r="D29" s="7" t="s">
        <v>101</v>
      </c>
      <c r="E29" s="7" t="s">
        <v>18</v>
      </c>
      <c r="F29" s="7"/>
      <c r="G29" s="7"/>
      <c r="H29" s="7"/>
      <c r="I29" s="8" t="n">
        <v>-36.6028243</v>
      </c>
      <c r="J29" s="8" t="n">
        <v>-72.1028527</v>
      </c>
      <c r="K29" s="7" t="s">
        <v>19</v>
      </c>
      <c r="L29" s="7" t="s">
        <v>20</v>
      </c>
      <c r="M29" s="10" t="s">
        <v>102</v>
      </c>
    </row>
    <row r="30" customFormat="false" ht="15" hidden="false" customHeight="true" outlineLevel="0" collapsed="false">
      <c r="A30" s="5" t="n">
        <v>26</v>
      </c>
      <c r="B30" s="6" t="s">
        <v>103</v>
      </c>
      <c r="C30" s="7" t="s">
        <v>104</v>
      </c>
      <c r="D30" s="7" t="s">
        <v>105</v>
      </c>
      <c r="E30" s="7" t="s">
        <v>18</v>
      </c>
      <c r="F30" s="7"/>
      <c r="G30" s="7"/>
      <c r="H30" s="7"/>
      <c r="I30" s="8" t="n">
        <v>-36.6047456</v>
      </c>
      <c r="J30" s="8" t="n">
        <v>-72.1041272</v>
      </c>
      <c r="K30" s="7" t="s">
        <v>19</v>
      </c>
      <c r="L30" s="7" t="s">
        <v>20</v>
      </c>
      <c r="M30" s="9" t="s">
        <v>106</v>
      </c>
    </row>
    <row r="31" customFormat="false" ht="15" hidden="false" customHeight="true" outlineLevel="0" collapsed="false">
      <c r="A31" s="5" t="n">
        <v>27</v>
      </c>
      <c r="B31" s="6" t="s">
        <v>107</v>
      </c>
      <c r="C31" s="7" t="s">
        <v>108</v>
      </c>
      <c r="D31" s="7" t="s">
        <v>109</v>
      </c>
      <c r="E31" s="7" t="s">
        <v>18</v>
      </c>
      <c r="F31" s="7"/>
      <c r="G31" s="7"/>
      <c r="H31" s="7"/>
      <c r="I31" s="8" t="n">
        <v>-36.6069927</v>
      </c>
      <c r="J31" s="8" t="n">
        <v>-72.0985688</v>
      </c>
      <c r="K31" s="7" t="s">
        <v>19</v>
      </c>
      <c r="L31" s="7" t="s">
        <v>20</v>
      </c>
      <c r="M31" s="9" t="s">
        <v>110</v>
      </c>
    </row>
    <row r="32" customFormat="false" ht="15" hidden="false" customHeight="true" outlineLevel="0" collapsed="false">
      <c r="A32" s="5" t="n">
        <v>28</v>
      </c>
      <c r="B32" s="6" t="s">
        <v>111</v>
      </c>
      <c r="C32" s="7" t="s">
        <v>84</v>
      </c>
      <c r="D32" s="7" t="s">
        <v>112</v>
      </c>
      <c r="E32" s="7" t="s">
        <v>18</v>
      </c>
      <c r="F32" s="7"/>
      <c r="G32" s="7"/>
      <c r="H32" s="7"/>
      <c r="I32" s="8" t="n">
        <v>-36.5910555</v>
      </c>
      <c r="J32" s="8" t="n">
        <v>-72.0861028</v>
      </c>
      <c r="K32" s="7" t="s">
        <v>19</v>
      </c>
      <c r="L32" s="7" t="s">
        <v>20</v>
      </c>
      <c r="M32" s="9" t="s">
        <v>113</v>
      </c>
    </row>
    <row r="33" customFormat="false" ht="15" hidden="false" customHeight="true" outlineLevel="0" collapsed="false">
      <c r="A33" s="5" t="n">
        <v>29</v>
      </c>
      <c r="B33" s="6" t="s">
        <v>114</v>
      </c>
      <c r="C33" s="7" t="s">
        <v>104</v>
      </c>
      <c r="D33" s="7" t="s">
        <v>115</v>
      </c>
      <c r="E33" s="7" t="s">
        <v>18</v>
      </c>
      <c r="F33" s="7"/>
      <c r="G33" s="7"/>
      <c r="H33" s="7"/>
      <c r="I33" s="8" t="n">
        <v>-36.605793</v>
      </c>
      <c r="J33" s="8" t="n">
        <v>-72.0981149</v>
      </c>
      <c r="K33" s="7" t="s">
        <v>19</v>
      </c>
      <c r="L33" s="7" t="s">
        <v>20</v>
      </c>
      <c r="M33" s="9" t="s">
        <v>116</v>
      </c>
    </row>
    <row r="34" customFormat="false" ht="34.5" hidden="false" customHeight="true" outlineLevel="0" collapsed="false">
      <c r="A34" s="5" t="n">
        <v>30</v>
      </c>
      <c r="B34" s="6" t="s">
        <v>117</v>
      </c>
      <c r="C34" s="7" t="s">
        <v>118</v>
      </c>
      <c r="D34" s="7" t="s">
        <v>119</v>
      </c>
      <c r="E34" s="7" t="s">
        <v>18</v>
      </c>
      <c r="F34" s="7"/>
      <c r="G34" s="7"/>
      <c r="H34" s="7"/>
      <c r="I34" s="8" t="n">
        <v>-36.5885283</v>
      </c>
      <c r="J34" s="8" t="n">
        <v>-72.076212</v>
      </c>
      <c r="K34" s="7" t="s">
        <v>19</v>
      </c>
      <c r="L34" s="7" t="s">
        <v>20</v>
      </c>
      <c r="M34" s="9" t="s">
        <v>120</v>
      </c>
    </row>
    <row r="35" customFormat="false" ht="15" hidden="false" customHeight="true" outlineLevel="0" collapsed="false">
      <c r="A35" s="5" t="n">
        <v>31</v>
      </c>
      <c r="B35" s="6" t="s">
        <v>121</v>
      </c>
      <c r="C35" s="7" t="s">
        <v>16</v>
      </c>
      <c r="D35" s="7" t="s">
        <v>122</v>
      </c>
      <c r="E35" s="7" t="s">
        <v>18</v>
      </c>
      <c r="F35" s="7"/>
      <c r="G35" s="7"/>
      <c r="H35" s="7"/>
      <c r="I35" s="8" t="n">
        <v>-36.6097439</v>
      </c>
      <c r="J35" s="8" t="n">
        <v>-72.1007552</v>
      </c>
      <c r="K35" s="7" t="s">
        <v>19</v>
      </c>
      <c r="L35" s="7" t="s">
        <v>20</v>
      </c>
      <c r="M35" s="9" t="s">
        <v>123</v>
      </c>
    </row>
  </sheetData>
  <autoFilter ref="A4:M33"/>
  <dataValidations count="2">
    <dataValidation allowBlank="true" error="Usa una de las cuatro categorías de la lista." errorStyle="stop" operator="between" showDropDown="false" showErrorMessage="false" showInputMessage="false" sqref="F5:F33" type="list">
      <formula1>"Comercio,Oficinas,Mixto,Por definir"</formula1>
      <formula2>0</formula2>
    </dataValidation>
    <dataValidation allowBlank="true" errorStyle="stop" operator="between" showDropDown="false" showErrorMessage="false" showInputMessage="false" sqref="H5:H33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  <col collapsed="false" customWidth="true" hidden="false" outlineLevel="0" max="2" min="2" style="1" width="14"/>
    <col collapsed="false" customWidth="true" hidden="false" outlineLevel="0" max="13" min="3" style="1" width="13"/>
  </cols>
  <sheetData>
    <row r="1" customFormat="false" ht="15.75" hidden="false" customHeight="true" outlineLevel="0" collapsed="false">
      <c r="A1" s="2" t="s">
        <v>124</v>
      </c>
    </row>
    <row r="3" customFormat="false" ht="15" hidden="false" customHeight="true" outlineLevel="0" collapsed="false">
      <c r="A3" s="11" t="s">
        <v>125</v>
      </c>
    </row>
    <row r="4" customFormat="false" ht="27.75" hidden="false" customHeight="true" outlineLevel="0" collapsed="false">
      <c r="A4" s="12" t="s">
        <v>126</v>
      </c>
    </row>
    <row r="6" customFormat="false" ht="15" hidden="false" customHeight="true" outlineLevel="0" collapsed="false">
      <c r="A6" s="11" t="s">
        <v>127</v>
      </c>
    </row>
    <row r="7" customFormat="false" ht="27.75" hidden="false" customHeight="true" outlineLevel="0" collapsed="false">
      <c r="A7" s="12" t="s">
        <v>128</v>
      </c>
    </row>
    <row r="8" customFormat="false" ht="27.75" hidden="false" customHeight="true" outlineLevel="0" collapsed="false">
      <c r="A8" s="12" t="s">
        <v>129</v>
      </c>
    </row>
    <row r="9" customFormat="false" ht="27.75" hidden="false" customHeight="true" outlineLevel="0" collapsed="false">
      <c r="A9" s="12" t="s">
        <v>130</v>
      </c>
    </row>
    <row r="10" customFormat="false" ht="27.75" hidden="false" customHeight="true" outlineLevel="0" collapsed="false">
      <c r="A10" s="12" t="s">
        <v>131</v>
      </c>
    </row>
    <row r="11" customFormat="false" ht="27.75" hidden="false" customHeight="true" outlineLevel="0" collapsed="false">
      <c r="A11" s="12" t="s">
        <v>132</v>
      </c>
    </row>
    <row r="12" customFormat="false" ht="27.75" hidden="false" customHeight="true" outlineLevel="0" collapsed="false">
      <c r="A12" s="12" t="s">
        <v>133</v>
      </c>
    </row>
    <row r="13" customFormat="false" ht="27.75" hidden="false" customHeight="true" outlineLevel="0" collapsed="false">
      <c r="A13" s="12" t="s">
        <v>134</v>
      </c>
    </row>
    <row r="14" customFormat="false" ht="27.75" hidden="false" customHeight="true" outlineLevel="0" collapsed="false">
      <c r="A14" s="12" t="s">
        <v>135</v>
      </c>
    </row>
    <row r="16" customFormat="false" ht="15" hidden="false" customHeight="true" outlineLevel="0" collapsed="false">
      <c r="A16" s="11" t="s">
        <v>136</v>
      </c>
    </row>
    <row r="17" customFormat="false" ht="27.75" hidden="false" customHeight="true" outlineLevel="0" collapsed="false">
      <c r="A17" s="12" t="s">
        <v>137</v>
      </c>
    </row>
    <row r="18" customFormat="false" ht="27.75" hidden="false" customHeight="true" outlineLevel="0" collapsed="false">
      <c r="A18" s="12" t="s">
        <v>138</v>
      </c>
    </row>
    <row r="19" customFormat="false" ht="27.75" hidden="false" customHeight="true" outlineLevel="0" collapsed="false">
      <c r="A19" s="12" t="s">
        <v>139</v>
      </c>
    </row>
    <row r="21" customFormat="false" ht="15" hidden="false" customHeight="true" outlineLevel="0" collapsed="false">
      <c r="A21" s="11" t="s">
        <v>140</v>
      </c>
    </row>
    <row r="22" customFormat="false" ht="27.75" hidden="false" customHeight="true" outlineLevel="0" collapsed="false">
      <c r="A22" s="12" t="s">
        <v>141</v>
      </c>
    </row>
    <row r="23" customFormat="false" ht="27.75" hidden="false" customHeight="true" outlineLevel="0" collapsed="false">
      <c r="A23" s="12" t="s">
        <v>142</v>
      </c>
    </row>
    <row r="24" customFormat="false" ht="27.75" hidden="false" customHeight="true" outlineLevel="0" collapsed="false">
      <c r="A24" s="12" t="s">
        <v>143</v>
      </c>
    </row>
    <row r="26" customFormat="false" ht="15" hidden="false" customHeight="true" outlineLevel="0" collapsed="false">
      <c r="A26" s="11" t="s">
        <v>144</v>
      </c>
    </row>
    <row r="27" customFormat="false" ht="27.75" hidden="false" customHeight="true" outlineLevel="0" collapsed="false">
      <c r="A27" s="12" t="s">
        <v>145</v>
      </c>
    </row>
    <row r="28" customFormat="false" ht="27.75" hidden="false" customHeight="true" outlineLevel="0" collapsed="false">
      <c r="A28" s="12" t="s">
        <v>146</v>
      </c>
    </row>
    <row r="31" customFormat="false" ht="15" hidden="false" customHeight="true" outlineLevel="0" collapsed="false">
      <c r="A31" s="11" t="s">
        <v>147</v>
      </c>
    </row>
    <row r="32" customFormat="false" ht="21.75" hidden="false" customHeight="true" outlineLevel="0" collapsed="false">
      <c r="A32" s="13" t="s">
        <v>2</v>
      </c>
      <c r="B32" s="13" t="s">
        <v>3</v>
      </c>
      <c r="C32" s="13" t="s">
        <v>4</v>
      </c>
      <c r="D32" s="13" t="s">
        <v>5</v>
      </c>
      <c r="E32" s="13" t="s">
        <v>6</v>
      </c>
      <c r="F32" s="13" t="s">
        <v>7</v>
      </c>
      <c r="G32" s="13" t="s">
        <v>8</v>
      </c>
      <c r="H32" s="13" t="s">
        <v>9</v>
      </c>
      <c r="I32" s="13" t="s">
        <v>10</v>
      </c>
      <c r="J32" s="13" t="s">
        <v>11</v>
      </c>
      <c r="K32" s="13" t="s">
        <v>12</v>
      </c>
      <c r="L32" s="13" t="s">
        <v>13</v>
      </c>
      <c r="M32" s="13" t="s">
        <v>14</v>
      </c>
    </row>
    <row r="33" customFormat="false" ht="15" hidden="false" customHeight="true" outlineLevel="0" collapsed="false">
      <c r="A33" s="14" t="n">
        <v>99</v>
      </c>
      <c r="B33" s="14" t="s">
        <v>148</v>
      </c>
      <c r="C33" s="14" t="s">
        <v>149</v>
      </c>
      <c r="D33" s="14" t="s">
        <v>17</v>
      </c>
      <c r="E33" s="14" t="s">
        <v>18</v>
      </c>
      <c r="F33" s="14" t="s">
        <v>150</v>
      </c>
      <c r="G33" s="14" t="n">
        <v>24</v>
      </c>
      <c r="H33" s="14" t="s">
        <v>151</v>
      </c>
      <c r="I33" s="14" t="n">
        <v>-36.6066</v>
      </c>
      <c r="J33" s="14" t="n">
        <v>-72.1034</v>
      </c>
      <c r="K33" s="14" t="s">
        <v>19</v>
      </c>
      <c r="L33" s="14" t="s">
        <v>152</v>
      </c>
      <c r="M33" s="14" t="s">
        <v>153</v>
      </c>
    </row>
    <row r="34" customFormat="false" ht="15" hidden="false" customHeight="true" outlineLevel="0" collapsed="false">
      <c r="A34" s="15" t="s">
        <v>154</v>
      </c>
    </row>
    <row r="37" customFormat="false" ht="15" hidden="false" customHeight="true" outlineLevel="0" collapsed="false">
      <c r="A37" s="11" t="s">
        <v>155</v>
      </c>
    </row>
    <row r="38" customFormat="false" ht="15" hidden="false" customHeight="true" outlineLevel="0" collapsed="false">
      <c r="A38" s="16" t="s">
        <v>156</v>
      </c>
      <c r="B38" s="17" t="n">
        <f aca="false">COUNTA(Catastro!B5:B35)</f>
        <v>31</v>
      </c>
    </row>
    <row r="39" customFormat="false" ht="15" hidden="false" customHeight="true" outlineLevel="0" collapsed="false">
      <c r="A39" s="16" t="s">
        <v>157</v>
      </c>
      <c r="B39" s="17" t="n">
        <f aca="false">COUNTA(Catastro!C5:C35)</f>
        <v>29</v>
      </c>
    </row>
    <row r="40" customFormat="false" ht="15" hidden="false" customHeight="true" outlineLevel="0" collapsed="false">
      <c r="A40" s="16" t="s">
        <v>158</v>
      </c>
      <c r="B40" s="17" t="n">
        <f aca="false">COUNT(Catastro!I5:I35)</f>
        <v>30</v>
      </c>
    </row>
    <row r="41" customFormat="false" ht="15" hidden="false" customHeight="true" outlineLevel="0" collapsed="false">
      <c r="A41" s="16" t="s">
        <v>159</v>
      </c>
      <c r="B41" s="17" t="n">
        <f aca="false">COUNTIF(Catastro!F5:F35,"Comercio")</f>
        <v>0</v>
      </c>
    </row>
    <row r="42" customFormat="false" ht="15" hidden="false" customHeight="true" outlineLevel="0" collapsed="false">
      <c r="A42" s="16" t="s">
        <v>160</v>
      </c>
      <c r="B42" s="17" t="n">
        <f aca="false">COUNTIF(Catastro!F5:F35,"Oficinas")</f>
        <v>0</v>
      </c>
    </row>
    <row r="43" customFormat="false" ht="15" hidden="false" customHeight="true" outlineLevel="0" collapsed="false">
      <c r="A43" s="16" t="s">
        <v>161</v>
      </c>
      <c r="B43" s="17" t="n">
        <f aca="false">COUNTIF(Catastro!F5:F35,"Mixto")</f>
        <v>0</v>
      </c>
    </row>
    <row r="44" customFormat="false" ht="15" hidden="false" customHeight="true" outlineLevel="0" collapsed="false">
      <c r="A44" s="16" t="s">
        <v>162</v>
      </c>
      <c r="B44" s="17" t="n">
        <f aca="false">COUNTIF(Catastro!H5:H35,"Sí")</f>
        <v>0</v>
      </c>
    </row>
    <row r="45" customFormat="false" ht="15" hidden="false" customHeight="true" outlineLevel="0" collapsed="false">
      <c r="A45" s="16" t="s">
        <v>163</v>
      </c>
      <c r="B45" s="17" t="n">
        <f aca="false">COUNTA(Catastro!B5:B35)-COUNTA(Catastro!C5:C35)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2026-08-13T14:34:20Z</dcterms:created>
  <dc:creator>openpyxl</dc:creator>
  <dc:description/>
  <dc:language>en-US</dc:language>
  <cp:lastModifiedBy/>
  <dcterms:modified xsi:type="dcterms:W3CDTF">2026-09-09T22:59:07Z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